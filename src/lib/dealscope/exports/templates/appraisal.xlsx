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Deal" sheetId="2" state="visible" r:id="rId2"/>
    <sheet xmlns:r="http://schemas.openxmlformats.org/officeDocument/2006/relationships" name="Refurb Deal" sheetId="3" state="visible" r:id="rId3"/>
    <sheet xmlns:r="http://schemas.openxmlformats.org/officeDocument/2006/relationships" name="Development Deal" sheetId="4" state="visible" r:id="rId4"/>
    <sheet xmlns:r="http://schemas.openxmlformats.org/officeDocument/2006/relationships" name="Multi-Unit Deal" sheetId="5" state="visible" r:id="rId5"/>
    <sheet xmlns:r="http://schemas.openxmlformats.org/officeDocument/2006/relationships" name="FINANCING_MATRIX" sheetId="6" state="visible" r:id="rId6"/>
    <sheet xmlns:r="http://schemas.openxmlformats.org/officeDocument/2006/relationships" name="CONSTRUCTION_COSTS" sheetId="7" state="visible" r:id="rId7"/>
    <sheet xmlns:r="http://schemas.openxmlformats.org/officeDocument/2006/relationships" name="COMPARABLE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;-"/>
    <numFmt numFmtId="166" formatCode="0.0x"/>
  </numFmts>
  <fonts count="22">
    <font>
      <name val="Calibri"/>
      <family val="2"/>
      <color theme="1"/>
      <sz val="11"/>
      <scheme val="minor"/>
    </font>
    <font>
      <name val="Calibri"/>
      <b val="1"/>
      <color rgb="001C3A70"/>
      <sz val="22"/>
    </font>
    <font>
      <name val="Calibri"/>
      <b val="1"/>
      <color rgb="002E5090"/>
      <sz val="16"/>
    </font>
    <font>
      <name val="Calibri"/>
      <color rgb="002C3E50"/>
      <sz val="12"/>
    </font>
    <font>
      <name val="Calibri"/>
      <b val="1"/>
      <color rgb="001C3A70"/>
      <sz val="11"/>
    </font>
    <font>
      <name val="Calibri"/>
      <color rgb="002C3E50"/>
      <sz val="10"/>
    </font>
    <font>
      <name val="Calibri"/>
      <i val="1"/>
      <color rgb="007F8C8D"/>
      <sz val="9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sz val="11"/>
    </font>
    <font>
      <name val="Calibri"/>
      <color rgb="000070C0"/>
      <sz val="11"/>
    </font>
    <font>
      <name val="Calibri"/>
      <color rgb="001B7F45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2E5090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b val="1"/>
      <color rgb="00000000"/>
      <sz val="9"/>
    </font>
    <font>
      <name val="Garamond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C3A70"/>
        <bgColor rgb="001C3A70"/>
      </patternFill>
    </fill>
    <fill>
      <patternFill patternType="solid">
        <fgColor rgb="002E5090"/>
        <bgColor rgb="002E5090"/>
      </patternFill>
    </fill>
    <fill>
      <patternFill patternType="solid">
        <fgColor rgb="00F5F7FA"/>
        <bgColor rgb="00F5F7FA"/>
      </patternFill>
    </fill>
    <fill>
      <patternFill patternType="solid">
        <fgColor rgb="002C5F2D"/>
        <bgColor rgb="002C5F2D"/>
      </patternFill>
    </fill>
    <fill>
      <patternFill patternType="solid">
        <fgColor rgb="00354B6E"/>
        <bgColor rgb="00354B6E"/>
      </patternFill>
    </fill>
    <fill>
      <patternFill patternType="solid">
        <fgColor rgb="00FFFACD"/>
        <bgColor rgb="00FFFACD"/>
      </patternFill>
    </fill>
    <fill>
      <patternFill patternType="solid">
        <fgColor rgb="00E8F4F8"/>
        <bgColor rgb="00E8F4F8"/>
      </patternFill>
    </fill>
    <fill>
      <patternFill patternType="solid">
        <fgColor rgb="002ecc71"/>
        <bgColor rgb="002ecc71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3" borderId="0" pivotButton="0" quotePrefix="0" xfId="0"/>
    <xf numFmtId="0" fontId="9" fillId="4" borderId="0" pivotButton="0" quotePrefix="0" xfId="0"/>
    <xf numFmtId="3" fontId="10" fillId="4" borderId="0" applyAlignment="1" pivotButton="0" quotePrefix="0" xfId="0">
      <alignment horizontal="right"/>
    </xf>
    <xf numFmtId="0" fontId="9" fillId="0" borderId="0" pivotButton="0" quotePrefix="0" xfId="0"/>
    <xf numFmtId="3" fontId="10" fillId="0" borderId="0" applyAlignment="1" pivotButton="0" quotePrefix="0" xfId="0">
      <alignment horizontal="right"/>
    </xf>
    <xf numFmtId="3" fontId="11" fillId="4" borderId="0" applyAlignment="1" pivotButton="0" quotePrefix="0" xfId="0">
      <alignment horizontal="right"/>
    </xf>
    <xf numFmtId="0" fontId="13" fillId="5" borderId="0" pivotButton="0" quotePrefix="0" xfId="0"/>
    <xf numFmtId="3" fontId="13" fillId="5" borderId="0" applyAlignment="1" pivotButton="0" quotePrefix="0" xfId="0">
      <alignment horizontal="right"/>
    </xf>
    <xf numFmtId="0" fontId="14" fillId="0" borderId="0" pivotButton="0" quotePrefix="0" xfId="0"/>
    <xf numFmtId="3" fontId="11" fillId="0" borderId="0" applyAlignment="1" pivotButton="0" quotePrefix="0" xfId="0">
      <alignment horizontal="right"/>
    </xf>
    <xf numFmtId="0" fontId="15" fillId="2" borderId="0" pivotButton="0" quotePrefix="0" xfId="0"/>
    <xf numFmtId="3" fontId="15" fillId="2" borderId="0" applyAlignment="1" pivotButton="0" quotePrefix="0" xfId="0">
      <alignment horizontal="right"/>
    </xf>
    <xf numFmtId="0" fontId="0" fillId="2" borderId="0" pivotButton="0" quotePrefix="0" xfId="0"/>
    <xf numFmtId="0" fontId="16" fillId="3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17" fillId="5" borderId="0" pivotButton="0" quotePrefix="0" xfId="0"/>
    <xf numFmtId="3" fontId="17" fillId="5" borderId="0" pivotButton="0" quotePrefix="0" xfId="0"/>
    <xf numFmtId="0" fontId="18" fillId="6" borderId="0" pivotButton="0" quotePrefix="0" xfId="0"/>
    <xf numFmtId="164" fontId="13" fillId="7" borderId="0" applyAlignment="1" pivotButton="0" quotePrefix="0" xfId="0">
      <alignment horizontal="right"/>
    </xf>
    <xf numFmtId="0" fontId="19" fillId="0" borderId="0" pivotButton="0" quotePrefix="0" xfId="0"/>
    <xf numFmtId="164" fontId="0" fillId="7" borderId="0" pivotButton="0" quotePrefix="0" xfId="0"/>
    <xf numFmtId="1" fontId="10" fillId="7" borderId="0" applyAlignment="1" pivotButton="0" quotePrefix="0" xfId="0">
      <alignment horizontal="right"/>
    </xf>
    <xf numFmtId="165" fontId="20" fillId="8" borderId="0" applyAlignment="1" pivotButton="0" quotePrefix="0" xfId="0">
      <alignment horizontal="right"/>
    </xf>
    <xf numFmtId="165" fontId="20" fillId="9" borderId="0" applyAlignment="1" pivotButton="0" quotePrefix="0" xfId="0">
      <alignment horizontal="right"/>
    </xf>
    <xf numFmtId="165" fontId="20" fillId="9" borderId="0" pivotButton="0" quotePrefix="0" xfId="0"/>
    <xf numFmtId="164" fontId="20" fillId="8" borderId="0" pivotButton="0" quotePrefix="0" xfId="0"/>
    <xf numFmtId="165" fontId="20" fillId="8" borderId="0" pivotButton="0" quotePrefix="0" xfId="0"/>
    <xf numFmtId="166" fontId="20" fillId="9" borderId="0" pivotButton="0" quotePrefix="0" xfId="0"/>
    <xf numFmtId="165" fontId="0" fillId="7" borderId="0" pivotButton="0" quotePrefix="0" xfId="0"/>
    <xf numFmtId="1" fontId="0" fillId="7" borderId="0" pivotButton="0" quotePrefix="0" xfId="0"/>
    <xf numFmtId="0" fontId="21" fillId="10" borderId="0" pivotButton="0" quotePrefix="0" xfId="0"/>
    <xf numFmtId="0" fontId="20" fillId="6" borderId="0" applyAlignment="1" pivotButton="0" quotePrefix="0" xfId="0">
      <alignment horizontal="center"/>
    </xf>
    <xf numFmtId="0" fontId="0" fillId="8" borderId="0" pivotButton="0" quotePrefix="0" xfId="0"/>
    <xf numFmtId="0" fontId="0" fillId="7" borderId="0" pivotButton="0" quotePrefix="0" xfId="0"/>
    <xf numFmtId="0" fontId="2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F3F"/>
    <outlinePr summaryBelow="1" summaryRight="1"/>
    <pageSetUpPr/>
  </sheetPr>
  <dimension ref="A3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3">
      <c r="A3" s="1" t="inlineStr">
        <is>
          <t>COMMERCIAL REAL ESTATE</t>
        </is>
      </c>
    </row>
    <row r="4">
      <c r="A4" s="2" t="inlineStr">
        <is>
          <t>Investment Appraisal Suite</t>
        </is>
      </c>
    </row>
    <row r="6">
      <c r="A6" s="3" t="inlineStr">
        <is>
          <t>Professional Property Analysis</t>
        </is>
      </c>
    </row>
    <row r="8">
      <c r="A8" s="4" t="inlineStr">
        <is>
          <t>Appraisal Types Included:</t>
        </is>
      </c>
    </row>
    <row r="9">
      <c r="A9" s="5" t="inlineStr">
        <is>
          <t>• Income Deal — Stabilized Property</t>
        </is>
      </c>
    </row>
    <row r="10">
      <c r="A10" s="5" t="inlineStr">
        <is>
          <t>• Refurbishment — Value-Add Analysis</t>
        </is>
      </c>
    </row>
    <row r="11">
      <c r="A11" s="5" t="inlineStr">
        <is>
          <t>• Development — Construction Costs</t>
        </is>
      </c>
    </row>
    <row r="12">
      <c r="A12" s="5" t="inlineStr">
        <is>
          <t>• Multi-Unit — Residential Portfolio</t>
        </is>
      </c>
    </row>
    <row r="15">
      <c r="A15" s="6" t="inlineStr">
        <is>
          <t>Prepared: April 07, 2026</t>
        </is>
      </c>
    </row>
  </sheetData>
  <mergeCells count="3">
    <mergeCell ref="A4:D4"/>
    <mergeCell ref="A3:D3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 ht="28" customHeight="1">
      <c r="A1" s="7" t="inlineStr">
        <is>
          <t>INCOME DEAL APPRAISAL</t>
        </is>
      </c>
    </row>
    <row r="3" ht="24" customHeight="1">
      <c r="A3" s="8" t="inlineStr">
        <is>
          <t>PROPERTY IDENTIFICATION</t>
        </is>
      </c>
    </row>
    <row r="4">
      <c r="A4" s="9" t="inlineStr">
        <is>
          <t>Address</t>
        </is>
      </c>
      <c r="B4" s="10" t="inlineStr">
        <is>
          <t>20 Mortimer Street, London</t>
        </is>
      </c>
    </row>
    <row r="5">
      <c r="A5" s="11" t="inlineStr">
        <is>
          <t>Property Type</t>
        </is>
      </c>
      <c r="B5" s="12" t="inlineStr">
        <is>
          <t>Multi-Let Office</t>
        </is>
      </c>
    </row>
    <row r="6">
      <c r="A6" s="9" t="inlineStr">
        <is>
          <t>GBA (sqft)</t>
        </is>
      </c>
      <c r="B6" s="10" t="n">
        <v>85000</v>
      </c>
    </row>
    <row r="7">
      <c r="A7" s="11" t="inlineStr">
        <is>
          <t>NLA (sqft)</t>
        </is>
      </c>
      <c r="B7" s="12" t="n">
        <v>75000</v>
      </c>
    </row>
    <row r="8">
      <c r="A8" s="9" t="inlineStr">
        <is>
          <t>Year Built</t>
        </is>
      </c>
      <c r="B8" s="10" t="n">
        <v>1998</v>
      </c>
    </row>
    <row r="10" ht="24" customHeight="1">
      <c r="A10" s="8" t="inlineStr">
        <is>
          <t>ACQUISITION COSTS SUMMARY</t>
        </is>
      </c>
    </row>
    <row r="11">
      <c r="A11" s="11" t="inlineStr">
        <is>
          <t>Purchase Price</t>
        </is>
      </c>
      <c r="B11" s="12" t="n">
        <v>5000000</v>
      </c>
    </row>
    <row r="12">
      <c r="A12" s="9" t="inlineStr">
        <is>
          <t>Stamp Duty (5%)</t>
        </is>
      </c>
      <c r="B12" s="13">
        <f>B11*0.05</f>
        <v/>
      </c>
    </row>
    <row r="13">
      <c r="A13" s="11" t="inlineStr">
        <is>
          <t>Legal Fees</t>
        </is>
      </c>
      <c r="B13" s="12" t="n">
        <v>25000</v>
      </c>
    </row>
    <row r="14">
      <c r="A14" s="9" t="inlineStr">
        <is>
          <t>Broker Fee (1%)</t>
        </is>
      </c>
      <c r="B14" s="13">
        <f>B11*0.01</f>
        <v/>
      </c>
    </row>
    <row r="15">
      <c r="A15" s="11" t="inlineStr">
        <is>
          <t>Survey &amp; Valuation</t>
        </is>
      </c>
      <c r="B15" s="12" t="n">
        <v>15000</v>
      </c>
    </row>
    <row r="16">
      <c r="A16" s="9" t="inlineStr">
        <is>
          <t>Due Diligence</t>
        </is>
      </c>
      <c r="B16" s="10" t="n">
        <v>10000</v>
      </c>
    </row>
    <row r="17">
      <c r="A17" s="14" t="inlineStr">
        <is>
          <t>TOTAL ACQUISITION COSTS</t>
        </is>
      </c>
      <c r="B17" s="15">
        <f>SUM(B11:B16)</f>
        <v/>
      </c>
    </row>
    <row r="19" ht="24" customHeight="1">
      <c r="A19" s="8" t="inlineStr">
        <is>
          <t>VALUATION ANALYSIS</t>
        </is>
      </c>
    </row>
    <row r="21">
      <c r="A21" s="16" t="inlineStr">
        <is>
          <t>Comparable Sales Approach</t>
        </is>
      </c>
    </row>
    <row r="22">
      <c r="A22" s="26" t="inlineStr">
        <is>
          <t>VALUATION ASSUMPTIONS - EDITABLE</t>
        </is>
      </c>
    </row>
    <row r="23">
      <c r="A23" s="14" t="inlineStr">
        <is>
          <t>Exit Cap Rate (%)</t>
        </is>
      </c>
      <c r="B23" s="27" t="n">
        <v>0.045</v>
      </c>
      <c r="C23" s="28" t="inlineStr">
        <is>
          <t>Edit to scenario test</t>
        </is>
      </c>
    </row>
    <row r="24">
      <c r="A24" t="inlineStr">
        <is>
          <t>Rent Growth p.a. (%)</t>
        </is>
      </c>
      <c r="B24" s="29" t="n">
        <v>0.03</v>
      </c>
      <c r="C24" s="28" t="inlineStr">
        <is>
          <t>Edit as needed</t>
        </is>
      </c>
    </row>
    <row r="25">
      <c r="A25" t="inlineStr">
        <is>
          <t>Void Rate (%)</t>
        </is>
      </c>
      <c r="B25" s="29" t="n">
        <v>0.05</v>
      </c>
    </row>
    <row r="26">
      <c r="A26" s="16" t="inlineStr">
        <is>
          <t>Operating Expense Ratio (%)</t>
        </is>
      </c>
      <c r="B26" s="29" t="n">
        <v>0.3</v>
      </c>
    </row>
    <row r="27">
      <c r="A27" s="11" t="inlineStr">
        <is>
          <t>Hold Period (Years)</t>
        </is>
      </c>
      <c r="B27" s="30" t="n">
        <v>5</v>
      </c>
    </row>
    <row r="28">
      <c r="A28" s="9" t="inlineStr">
        <is>
          <t>Occupancy Rate</t>
        </is>
      </c>
      <c r="B28" s="10" t="n">
        <v>0.92</v>
      </c>
    </row>
    <row r="29">
      <c r="A29" s="26" t="inlineStr">
        <is>
          <t>KEY METRICS &amp; RETURNS</t>
        </is>
      </c>
    </row>
    <row r="30">
      <c r="A30" s="9" t="inlineStr">
        <is>
          <t>Annual Rental Income</t>
        </is>
      </c>
      <c r="B30" s="31">
        <f>B17</f>
        <v/>
      </c>
    </row>
    <row r="31">
      <c r="A31" s="11" t="inlineStr">
        <is>
          <t>Less: Vacancy Loss</t>
        </is>
      </c>
      <c r="B31" s="31">
        <f>$B$B30*B45</f>
        <v/>
      </c>
    </row>
    <row r="32">
      <c r="A32" s="9" t="inlineStr">
        <is>
          <t>Effective Rental Income</t>
        </is>
      </c>
      <c r="B32" s="32">
        <f>B30-B31</f>
        <v/>
      </c>
    </row>
    <row r="33">
      <c r="A33" s="14" t="inlineStr">
        <is>
          <t>Operating Expenses</t>
        </is>
      </c>
      <c r="B33" s="31">
        <f>$B$B32*$B26</f>
        <v/>
      </c>
    </row>
    <row r="34">
      <c r="A34" t="inlineStr">
        <is>
          <t>NOI (Net Operating Income)</t>
        </is>
      </c>
      <c r="B34" s="33">
        <f>$B$B32-B33</f>
        <v/>
      </c>
    </row>
    <row r="35">
      <c r="A35" t="inlineStr">
        <is>
          <t>Cap Rate (NOI / Purchase)</t>
        </is>
      </c>
      <c r="B35" s="34">
        <f>$B$B34/$B$11</f>
        <v/>
      </c>
    </row>
    <row r="36">
      <c r="A36" s="18" t="inlineStr">
        <is>
          <t>Exit Value at Cap Rate</t>
        </is>
      </c>
      <c r="B36" s="31">
        <f>$B$B34/$B23</f>
        <v/>
      </c>
    </row>
    <row r="37">
      <c r="A37" t="inlineStr">
        <is>
          <t>Equity Invested</t>
        </is>
      </c>
      <c r="B37" s="35">
        <f>B$11+B$12+B$13+B$14+B$15</f>
        <v/>
      </c>
    </row>
    <row r="38">
      <c r="A38" t="inlineStr">
        <is>
          <t>Cumulative NOI (5yr)</t>
        </is>
      </c>
      <c r="B38" s="35">
        <f>$B$B34*$B27</f>
        <v/>
      </c>
    </row>
    <row r="39">
      <c r="A39" t="inlineStr">
        <is>
          <t>Total Return (Exit + NOI)</t>
        </is>
      </c>
      <c r="B39" s="33">
        <f>$B$B36+$B$B38</f>
        <v/>
      </c>
    </row>
    <row r="40">
      <c r="A40" t="inlineStr">
        <is>
          <t>Equity Multiple (MoIC)</t>
        </is>
      </c>
      <c r="B40" s="36">
        <f>$B$B39/$B$B37</f>
        <v/>
      </c>
    </row>
  </sheetData>
  <mergeCells count="6">
    <mergeCell ref="A10:C10"/>
    <mergeCell ref="A19:C19"/>
    <mergeCell ref="A1:C1"/>
    <mergeCell ref="A22:C22"/>
    <mergeCell ref="A3:C3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 ht="28" customHeight="1">
      <c r="A1" s="7" t="inlineStr">
        <is>
          <t>REFURBISHMENT DEAL APPRAISAL</t>
        </is>
      </c>
    </row>
    <row r="3" ht="24" customHeight="1">
      <c r="A3" s="8" t="inlineStr">
        <is>
          <t>PROPERTY DETAILS</t>
        </is>
      </c>
    </row>
    <row r="4">
      <c r="A4" s="9" t="inlineStr">
        <is>
          <t>Address</t>
        </is>
      </c>
      <c r="B4" s="10" t="inlineStr">
        <is>
          <t>Basildon Central, Essex</t>
        </is>
      </c>
    </row>
    <row r="5">
      <c r="A5" s="11" t="inlineStr">
        <is>
          <t>Current Condition</t>
        </is>
      </c>
      <c r="B5" s="12" t="inlineStr">
        <is>
          <t>Fair</t>
        </is>
      </c>
    </row>
    <row r="6">
      <c r="A6" s="9" t="inlineStr">
        <is>
          <t>Target Condition</t>
        </is>
      </c>
      <c r="B6" s="10" t="inlineStr">
        <is>
          <t>Good</t>
        </is>
      </c>
    </row>
    <row r="7">
      <c r="A7" s="11" t="inlineStr">
        <is>
          <t>NLA (sqft)</t>
        </is>
      </c>
      <c r="B7" s="12" t="n">
        <v>38000</v>
      </c>
    </row>
    <row r="9" ht="24" customHeight="1">
      <c r="A9" s="8" t="inlineStr">
        <is>
          <t>COST BREAKDOWN</t>
        </is>
      </c>
    </row>
    <row r="10">
      <c r="A10" s="9" t="inlineStr">
        <is>
          <t>Purchase Price</t>
        </is>
      </c>
      <c r="B10" s="10" t="n">
        <v>2250000</v>
      </c>
    </row>
    <row r="11">
      <c r="A11" s="11" t="inlineStr">
        <is>
          <t>Stamp Duty (3.75%)</t>
        </is>
      </c>
      <c r="B11" s="17">
        <f>B10*0.0375</f>
        <v/>
      </c>
    </row>
    <row r="12">
      <c r="A12" s="9" t="inlineStr">
        <is>
          <t>Legal Fees</t>
        </is>
      </c>
      <c r="B12" s="10" t="n">
        <v>12500</v>
      </c>
    </row>
    <row r="13">
      <c r="A13" s="11" t="inlineStr">
        <is>
          <t>Broker Fee (0.75%)</t>
        </is>
      </c>
      <c r="B13" s="17">
        <f>B10*0.0075</f>
        <v/>
      </c>
    </row>
    <row r="14">
      <c r="A14" s="9" t="inlineStr">
        <is>
          <t>Survey &amp; Due Diligence</t>
        </is>
      </c>
      <c r="B14" s="10" t="n">
        <v>20000</v>
      </c>
    </row>
    <row r="15">
      <c r="A15" s="14" t="inlineStr">
        <is>
          <t>TOTAL ACQ COSTS</t>
        </is>
      </c>
      <c r="B15" s="15">
        <f>SUM(B10:B14)</f>
        <v/>
      </c>
    </row>
    <row r="17" ht="24" customHeight="1">
      <c r="A17" s="8" t="inlineStr">
        <is>
          <t>REFURBISHMENT CAPEX</t>
        </is>
      </c>
    </row>
    <row r="18">
      <c r="A18" s="9" t="inlineStr">
        <is>
          <t>Structural Repairs</t>
        </is>
      </c>
      <c r="B18" s="10" t="n">
        <v>45000</v>
      </c>
    </row>
    <row r="19">
      <c r="A19" s="11" t="inlineStr">
        <is>
          <t>M&amp;E Systems</t>
        </is>
      </c>
      <c r="B19" s="12" t="n">
        <v>85000</v>
      </c>
    </row>
    <row r="20">
      <c r="A20" s="9" t="inlineStr">
        <is>
          <t>Flooring &amp; Finishes</t>
        </is>
      </c>
      <c r="B20" s="10" t="n">
        <v>125000</v>
      </c>
    </row>
    <row r="21">
      <c r="A21" s="11" t="inlineStr">
        <is>
          <t>Facade/Windows</t>
        </is>
      </c>
      <c r="B21" s="12" t="n">
        <v>75000</v>
      </c>
    </row>
    <row r="22">
      <c r="A22" s="9" t="inlineStr">
        <is>
          <t>Roof Works</t>
        </is>
      </c>
      <c r="B22" s="10" t="n">
        <v>35000</v>
      </c>
    </row>
    <row r="23">
      <c r="A23" s="11" t="inlineStr">
        <is>
          <t>Asbestos/Environmental</t>
        </is>
      </c>
      <c r="B23" s="12" t="n">
        <v>25000</v>
      </c>
    </row>
    <row r="24">
      <c r="A24" s="14" t="inlineStr">
        <is>
          <t>SUBTOTAL HARD COSTS</t>
        </is>
      </c>
      <c r="B24" s="15">
        <f>SUM(B18:B23)</f>
        <v/>
      </c>
    </row>
    <row r="26" ht="24" customHeight="1">
      <c r="A26" s="8" t="inlineStr">
        <is>
          <t>SOFT COSTS</t>
        </is>
      </c>
    </row>
    <row r="27">
      <c r="A27" s="11" t="inlineStr">
        <is>
          <t>Architecture/Design (3%)</t>
        </is>
      </c>
      <c r="B27" s="17">
        <f>B24*0.03</f>
        <v/>
      </c>
    </row>
    <row r="28">
      <c r="A28" s="9" t="inlineStr">
        <is>
          <t>Engineering (2%)</t>
        </is>
      </c>
      <c r="B28" s="13">
        <f>B24*0.02</f>
        <v/>
      </c>
    </row>
    <row r="29">
      <c r="A29" s="11" t="inlineStr">
        <is>
          <t>Project Management (4%)</t>
        </is>
      </c>
      <c r="B29" s="17">
        <f>B24*0.04</f>
        <v/>
      </c>
    </row>
    <row r="30">
      <c r="A30" s="9" t="inlineStr">
        <is>
          <t>Planning/Compliance</t>
        </is>
      </c>
      <c r="B30" s="10" t="n">
        <v>8000</v>
      </c>
    </row>
    <row r="31">
      <c r="A31" s="11" t="inlineStr">
        <is>
          <t>Insurance (2%)</t>
        </is>
      </c>
      <c r="B31" s="17">
        <f>B24*0.02</f>
        <v/>
      </c>
    </row>
    <row r="32">
      <c r="A32" s="14" t="inlineStr">
        <is>
          <t>SUBTOTAL SOFT COSTS</t>
        </is>
      </c>
      <c r="B32" s="15">
        <f>SUM(B27:B31)</f>
        <v/>
      </c>
    </row>
    <row r="34">
      <c r="A34" s="9" t="inlineStr">
        <is>
          <t>Contingency (10%)</t>
        </is>
      </c>
      <c r="B34" s="13">
        <f>(B24+B32)*0.10</f>
        <v/>
      </c>
    </row>
    <row r="36">
      <c r="A36" s="14" t="inlineStr">
        <is>
          <t>TOTAL CAPEX</t>
        </is>
      </c>
      <c r="B36" s="15">
        <f>B24+B32+B34</f>
        <v/>
      </c>
    </row>
    <row r="39" ht="24" customHeight="1">
      <c r="A39" s="8" t="inlineStr">
        <is>
          <t>VALUE-ADD ANALYSIS</t>
        </is>
      </c>
    </row>
    <row r="40">
      <c r="A40" s="9" t="inlineStr">
        <is>
          <t>Post-Refurb Annual Rent</t>
        </is>
      </c>
      <c r="B40" s="10" t="n">
        <v>285000</v>
      </c>
    </row>
    <row r="41">
      <c r="A41" s="11" t="inlineStr">
        <is>
          <t>Exit Cap Rate (%)</t>
        </is>
      </c>
      <c r="B41" s="12" t="n">
        <v>0.05</v>
      </c>
    </row>
    <row r="42">
      <c r="A42" s="14" t="inlineStr">
        <is>
          <t>POST-REFURB VALUE</t>
        </is>
      </c>
      <c r="B42" s="15">
        <f>B40/B41</f>
        <v/>
      </c>
    </row>
    <row r="45">
      <c r="A45" s="14" t="inlineStr">
        <is>
          <t>VALUE CREATED</t>
        </is>
      </c>
      <c r="B45" s="15">
        <f>B42-(B10+B15+B36)</f>
        <v/>
      </c>
    </row>
    <row r="47">
      <c r="A47" s="14" t="inlineStr">
        <is>
          <t>RETURN ON COST</t>
        </is>
      </c>
      <c r="B47" s="15">
        <f>B45/(B10+B15+B36)</f>
        <v/>
      </c>
    </row>
    <row r="49">
      <c r="A49" s="26" t="inlineStr">
        <is>
          <t>POST-REFURB ASSUMPTIONS - EDITABLE</t>
        </is>
      </c>
    </row>
    <row r="50">
      <c r="A50" t="inlineStr">
        <is>
          <t>Post-Refurb Rental Income/sf</t>
        </is>
      </c>
      <c r="B50" s="37" t="n">
        <v>15</v>
      </c>
      <c r="C50" s="28" t="inlineStr">
        <is>
          <t>Annual rent per sqft</t>
        </is>
      </c>
    </row>
    <row r="51">
      <c r="A51" t="inlineStr">
        <is>
          <t>Exit Cap Rate (%)</t>
        </is>
      </c>
      <c r="B51" s="29" t="n">
        <v>0.05</v>
      </c>
    </row>
    <row r="52">
      <c r="A52" t="inlineStr">
        <is>
          <t>Operating Expense Ratio (%)</t>
        </is>
      </c>
      <c r="B52" s="29" t="n">
        <v>0.3</v>
      </c>
    </row>
    <row r="53">
      <c r="A53" t="inlineStr">
        <is>
          <t>Hold Period (Years)</t>
        </is>
      </c>
      <c r="B53" s="38" t="n">
        <v>5</v>
      </c>
    </row>
    <row r="55">
      <c r="A55" s="26" t="inlineStr">
        <is>
          <t>POST-REFURB VALUATION</t>
        </is>
      </c>
    </row>
    <row r="56">
      <c r="A56" t="inlineStr">
        <is>
          <t>Annual Rental Income</t>
        </is>
      </c>
      <c r="B56" s="35">
        <f>$B$B50*$B$7</f>
        <v/>
      </c>
    </row>
    <row r="57">
      <c r="A57" t="inlineStr">
        <is>
          <t>Operating Expenses</t>
        </is>
      </c>
      <c r="B57" s="35">
        <f>$B$B56*$B52</f>
        <v/>
      </c>
    </row>
    <row r="58">
      <c r="A58" t="inlineStr">
        <is>
          <t>NOI</t>
        </is>
      </c>
      <c r="B58" s="33">
        <f>$B$B56-$B$B57</f>
        <v/>
      </c>
    </row>
    <row r="59">
      <c r="A59" t="inlineStr">
        <is>
          <t>Exit Value at Cap Rate</t>
        </is>
      </c>
      <c r="B59" s="35">
        <f>$B$B58/$B51</f>
        <v/>
      </c>
    </row>
    <row r="60">
      <c r="A60" t="inlineStr">
        <is>
          <t>Total Investment (Acq + Refurb)</t>
        </is>
      </c>
      <c r="B60" s="35">
        <f>$B$15+$B$18</f>
        <v/>
      </c>
    </row>
    <row r="61">
      <c r="A61" t="inlineStr">
        <is>
          <t>Cumulative NOI</t>
        </is>
      </c>
      <c r="B61" s="35">
        <f>$B$B58*$B53</f>
        <v/>
      </c>
    </row>
    <row r="62">
      <c r="A62" t="inlineStr">
        <is>
          <t>Total Return</t>
        </is>
      </c>
      <c r="B62" s="33">
        <f>$B$B59+$B$B61</f>
        <v/>
      </c>
    </row>
    <row r="63">
      <c r="A63" t="inlineStr">
        <is>
          <t>Equity Multiple</t>
        </is>
      </c>
      <c r="B63" s="36">
        <f>$B$B62/$B$B60</f>
        <v/>
      </c>
    </row>
  </sheetData>
  <mergeCells count="8">
    <mergeCell ref="A49:C49"/>
    <mergeCell ref="A1:C1"/>
    <mergeCell ref="A17:C17"/>
    <mergeCell ref="A9:C9"/>
    <mergeCell ref="A3:C3"/>
    <mergeCell ref="A39:C39"/>
    <mergeCell ref="A55:C55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 ht="28" customHeight="1">
      <c r="A1" s="7" t="inlineStr">
        <is>
          <t>DEVELOPMENT DEAL APPRAISAL</t>
        </is>
      </c>
    </row>
    <row r="3" ht="24" customHeight="1">
      <c r="A3" s="8" t="inlineStr">
        <is>
          <t>PROJECT OVERVIEW</t>
        </is>
      </c>
    </row>
    <row r="4">
      <c r="A4" s="9" t="inlineStr">
        <is>
          <t>Site Address</t>
        </is>
      </c>
      <c r="B4" s="10" t="inlineStr">
        <is>
          <t>Shoreditch, London</t>
        </is>
      </c>
    </row>
    <row r="5">
      <c r="A5" s="11" t="inlineStr">
        <is>
          <t>Project Type</t>
        </is>
      </c>
      <c r="B5" s="12" t="inlineStr">
        <is>
          <t>Mixed-Use Development</t>
        </is>
      </c>
    </row>
    <row r="6">
      <c r="A6" s="9" t="inlineStr">
        <is>
          <t>Developable Area (sqft)</t>
        </is>
      </c>
      <c r="B6" s="10" t="n">
        <v>150000</v>
      </c>
    </row>
    <row r="7">
      <c r="A7" s="11" t="inlineStr">
        <is>
          <t>Site Size (acres)</t>
        </is>
      </c>
      <c r="B7" s="12" t="n">
        <v>2.5</v>
      </c>
    </row>
    <row r="9" ht="24" customHeight="1">
      <c r="A9" s="8" t="inlineStr">
        <is>
          <t>LAND ACQUISITION</t>
        </is>
      </c>
    </row>
    <row r="10">
      <c r="A10" s="9" t="inlineStr">
        <is>
          <t>Land Price</t>
        </is>
      </c>
      <c r="B10" s="10" t="n">
        <v>7500000</v>
      </c>
    </row>
    <row r="11">
      <c r="A11" s="11" t="inlineStr">
        <is>
          <t>Stamp Duty (5%)</t>
        </is>
      </c>
      <c r="B11" s="17">
        <f>B10*0.05</f>
        <v/>
      </c>
    </row>
    <row r="12">
      <c r="A12" s="9" t="inlineStr">
        <is>
          <t>Legal &amp; Professional</t>
        </is>
      </c>
      <c r="B12" s="10" t="n">
        <v>30000</v>
      </c>
    </row>
    <row r="13">
      <c r="A13" s="11" t="inlineStr">
        <is>
          <t>Surveys &amp; Investigation</t>
        </is>
      </c>
      <c r="B13" s="12" t="n">
        <v>25000</v>
      </c>
    </row>
    <row r="14">
      <c r="A14" s="14" t="inlineStr">
        <is>
          <t>TOTAL LAND ACQUISITION</t>
        </is>
      </c>
      <c r="B14" s="15">
        <f>SUM(B10:B13)</f>
        <v/>
      </c>
    </row>
    <row r="16" ht="24" customHeight="1">
      <c r="A16" s="8" t="inlineStr">
        <is>
          <t>CONSTRUCTION HARD COSTS</t>
        </is>
      </c>
    </row>
    <row r="17">
      <c r="A17" s="11" t="inlineStr">
        <is>
          <t>Building (£350/sqft × 150k sqft)</t>
        </is>
      </c>
      <c r="B17" s="17">
        <f>150000*350</f>
        <v/>
      </c>
    </row>
    <row r="18">
      <c r="A18" s="9" t="inlineStr">
        <is>
          <t>Parking &amp; Infrastructure</t>
        </is>
      </c>
      <c r="B18" s="10" t="n">
        <v>350000</v>
      </c>
    </row>
    <row r="19">
      <c r="A19" s="11" t="inlineStr">
        <is>
          <t>Site &amp; Temporary Works</t>
        </is>
      </c>
      <c r="B19" s="12" t="n">
        <v>75000</v>
      </c>
    </row>
    <row r="20">
      <c r="A20" s="14" t="inlineStr">
        <is>
          <t>SUBTOTAL HARD COSTS</t>
        </is>
      </c>
      <c r="B20" s="15">
        <f>SUM(B17:B19)</f>
        <v/>
      </c>
    </row>
    <row r="22" ht="24" customHeight="1">
      <c r="A22" s="8" t="inlineStr">
        <is>
          <t>CONSTRUCTION SOFT COSTS</t>
        </is>
      </c>
    </row>
    <row r="23">
      <c r="A23" s="11" t="inlineStr">
        <is>
          <t>Design (5%)</t>
        </is>
      </c>
      <c r="B23" s="17">
        <f>B20*0.05</f>
        <v/>
      </c>
    </row>
    <row r="24">
      <c r="A24" s="9" t="inlineStr">
        <is>
          <t>Project Management (4%)</t>
        </is>
      </c>
      <c r="B24" s="13">
        <f>B20*0.04</f>
        <v/>
      </c>
    </row>
    <row r="25">
      <c r="A25" s="11" t="inlineStr">
        <is>
          <t>Clerk of Works (2%)</t>
        </is>
      </c>
      <c r="B25" s="17">
        <f>B20*0.02</f>
        <v/>
      </c>
    </row>
    <row r="26">
      <c r="A26" s="9" t="inlineStr">
        <is>
          <t>Building Control</t>
        </is>
      </c>
      <c r="B26" s="10" t="n">
        <v>12000</v>
      </c>
    </row>
    <row r="27">
      <c r="A27" s="11" t="inlineStr">
        <is>
          <t>Construction Insurance (3%)</t>
        </is>
      </c>
      <c r="B27" s="17">
        <f>B20*0.03</f>
        <v/>
      </c>
    </row>
    <row r="28">
      <c r="A28" s="14" t="inlineStr">
        <is>
          <t>SUBTOTAL SOFT COSTS</t>
        </is>
      </c>
      <c r="B28" s="15">
        <f>SUM(B23:B27)</f>
        <v/>
      </c>
    </row>
    <row r="30">
      <c r="A30" s="9" t="inlineStr">
        <is>
          <t>Contingency (10%)</t>
        </is>
      </c>
      <c r="B30" s="13">
        <f>(B20+B28)*0.10</f>
        <v/>
      </c>
    </row>
    <row r="32">
      <c r="A32" s="14" t="inlineStr">
        <is>
          <t>TOTAL CONSTRUCTION</t>
        </is>
      </c>
      <c r="B32" s="15">
        <f>B20+B28+B30</f>
        <v/>
      </c>
    </row>
    <row r="35">
      <c r="A35" s="14" t="inlineStr">
        <is>
          <t>TOTAL DEV COST</t>
        </is>
      </c>
      <c r="B35" s="15">
        <f>B14+B32</f>
        <v/>
      </c>
    </row>
    <row r="36">
      <c r="B36" s="20" t="n"/>
    </row>
    <row r="38">
      <c r="A38" s="26" t="inlineStr">
        <is>
          <t>PROJECT ASSUMPTIONS - EDITABLE</t>
        </is>
      </c>
    </row>
    <row r="39">
      <c r="A39" t="inlineStr">
        <is>
          <t>Construction Cost per sqft</t>
        </is>
      </c>
      <c r="B39" s="37" t="n">
        <v>350</v>
      </c>
      <c r="C39" s="28" t="inlineStr">
        <is>
          <t>Ground-up development</t>
        </is>
      </c>
    </row>
    <row r="40">
      <c r="A40" t="inlineStr">
        <is>
          <t>Soft Costs (% of Hard)</t>
        </is>
      </c>
      <c r="B40" s="29" t="n">
        <v>0.27</v>
      </c>
    </row>
    <row r="41">
      <c r="A41" t="inlineStr">
        <is>
          <t>Exit Cap Rate (%)</t>
        </is>
      </c>
      <c r="B41" s="29" t="n">
        <v>0.055</v>
      </c>
    </row>
    <row r="42">
      <c r="A42" t="inlineStr">
        <is>
          <t>Stabilized Rent/sqft</t>
        </is>
      </c>
      <c r="B42" s="37" t="n">
        <v>45</v>
      </c>
    </row>
    <row r="43">
      <c r="A43" t="inlineStr">
        <is>
          <t>Operating Expense Ratio</t>
        </is>
      </c>
      <c r="B43" s="29" t="n">
        <v>0.32</v>
      </c>
    </row>
    <row r="45">
      <c r="A45" s="26" t="inlineStr">
        <is>
          <t>DEVELOPMENT RETURNS</t>
        </is>
      </c>
    </row>
    <row r="46">
      <c r="A46" t="inlineStr">
        <is>
          <t>Hard Costs</t>
        </is>
      </c>
      <c r="B46" s="35">
        <f>$B$6*$B40</f>
        <v/>
      </c>
    </row>
    <row r="47">
      <c r="A47" t="inlineStr">
        <is>
          <t>Soft Costs</t>
        </is>
      </c>
      <c r="B47" s="35">
        <f>B46*$B42</f>
        <v/>
      </c>
    </row>
    <row r="48">
      <c r="A48" t="inlineStr">
        <is>
          <t>Total Development Cost</t>
        </is>
      </c>
      <c r="B48" s="33">
        <f>B46+B47+$B$14</f>
        <v/>
      </c>
    </row>
    <row r="49">
      <c r="A49" t="inlineStr">
        <is>
          <t>Stabilized Annual Rent</t>
        </is>
      </c>
      <c r="B49" s="35">
        <f>$B$6*$B44</f>
        <v/>
      </c>
    </row>
    <row r="50">
      <c r="A50" t="inlineStr">
        <is>
          <t>Operating Expenses</t>
        </is>
      </c>
      <c r="B50" s="35">
        <f>$B$B49*$B45</f>
        <v/>
      </c>
    </row>
    <row r="51">
      <c r="A51" t="inlineStr">
        <is>
          <t>Stabilized NOI</t>
        </is>
      </c>
      <c r="B51" s="33">
        <f>$B$B49-$B$B50</f>
        <v/>
      </c>
    </row>
    <row r="52">
      <c r="A52" t="inlineStr">
        <is>
          <t>Exit Value (at cap rate)</t>
        </is>
      </c>
      <c r="B52" s="35">
        <f>$B$B51/$B46</f>
        <v/>
      </c>
    </row>
    <row r="53">
      <c r="A53" t="inlineStr">
        <is>
          <t>Profit on Stabilization</t>
        </is>
      </c>
      <c r="B53" s="33">
        <f>$B$B52-$B$B48</f>
        <v/>
      </c>
    </row>
  </sheetData>
  <mergeCells count="7">
    <mergeCell ref="A1:C1"/>
    <mergeCell ref="A45:C45"/>
    <mergeCell ref="A22:C22"/>
    <mergeCell ref="A9:C9"/>
    <mergeCell ref="A3:C3"/>
    <mergeCell ref="A38:C38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090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 ht="28" customHeight="1">
      <c r="A1" s="7" t="inlineStr">
        <is>
          <t>MULTI-UNIT RESIDENTIAL APPRAISAL</t>
        </is>
      </c>
    </row>
    <row r="3" ht="24" customHeight="1">
      <c r="A3" s="8" t="inlineStr">
        <is>
          <t>UNIT MIX &amp; RENTAL INCOME</t>
        </is>
      </c>
    </row>
    <row r="4">
      <c r="A4" s="21" t="inlineStr">
        <is>
          <t>Unit Type</t>
        </is>
      </c>
      <c r="B4" s="21" t="inlineStr">
        <is>
          <t>Qty</t>
        </is>
      </c>
      <c r="C4" s="21" t="inlineStr">
        <is>
          <t>Monthly Rent</t>
        </is>
      </c>
    </row>
    <row r="5">
      <c r="A5" t="inlineStr">
        <is>
          <t>1-Bed Apt</t>
        </is>
      </c>
      <c r="B5" s="22" t="n">
        <v>2</v>
      </c>
      <c r="C5" s="23" t="n">
        <v>2500</v>
      </c>
    </row>
    <row r="6">
      <c r="A6" t="inlineStr">
        <is>
          <t>2-Bed Apt</t>
        </is>
      </c>
      <c r="B6" s="22" t="n">
        <v>2</v>
      </c>
      <c r="C6" s="23" t="n">
        <v>3500</v>
      </c>
    </row>
    <row r="7">
      <c r="A7" t="inlineStr">
        <is>
          <t>3-Bed Apt</t>
        </is>
      </c>
      <c r="B7" s="22" t="n">
        <v>1</v>
      </c>
      <c r="C7" s="23" t="n">
        <v>5000</v>
      </c>
    </row>
    <row r="9">
      <c r="A9" s="24" t="inlineStr">
        <is>
          <t>TOTAL ANNUAL RENT</t>
        </is>
      </c>
      <c r="C9" s="25">
        <f>(2*2500*12)+(2*3500*12)+(1*5000*12)</f>
        <v/>
      </c>
    </row>
    <row r="11" ht="24" customHeight="1">
      <c r="A11" s="8" t="inlineStr">
        <is>
          <t>VALUATION</t>
        </is>
      </c>
    </row>
    <row r="12">
      <c r="A12" s="9" t="inlineStr">
        <is>
          <t>Purchase Price</t>
        </is>
      </c>
      <c r="B12" s="10" t="n">
        <v>3500000</v>
      </c>
    </row>
    <row r="13">
      <c r="A13" s="11" t="inlineStr">
        <is>
          <t>Price per Unit</t>
        </is>
      </c>
      <c r="B13" s="17">
        <f>B12/5</f>
        <v/>
      </c>
    </row>
    <row r="14">
      <c r="A14" s="9" t="inlineStr">
        <is>
          <t>Capitalization Rate (%)</t>
        </is>
      </c>
      <c r="B14" s="10" t="n">
        <v>0.055</v>
      </c>
    </row>
    <row r="15">
      <c r="A15" s="14" t="inlineStr">
        <is>
          <t>IMPLIED VALUE</t>
        </is>
      </c>
      <c r="B15" s="15">
        <f>C9/B14</f>
        <v/>
      </c>
    </row>
    <row r="17">
      <c r="A17" s="26" t="inlineStr">
        <is>
          <t>PORTFOLIO ASSUMPTIONS - EDITABLE</t>
        </is>
      </c>
    </row>
    <row r="18">
      <c r="A18" t="inlineStr">
        <is>
          <t>Exit Cap Rate (%)</t>
        </is>
      </c>
      <c r="B18" s="29" t="n">
        <v>0.055</v>
      </c>
    </row>
    <row r="19">
      <c r="A19" t="inlineStr">
        <is>
          <t>Occupancy Rate (%)</t>
        </is>
      </c>
      <c r="B19" s="29" t="n">
        <v>0.92</v>
      </c>
    </row>
    <row r="20">
      <c r="A20" t="inlineStr">
        <is>
          <t>Operating Expense Ratio (%)</t>
        </is>
      </c>
      <c r="B20" s="29" t="n">
        <v>0.25</v>
      </c>
    </row>
    <row r="21">
      <c r="A21" t="inlineStr">
        <is>
          <t>Hold Period (Years)</t>
        </is>
      </c>
      <c r="B21" s="38" t="n">
        <v>5</v>
      </c>
    </row>
    <row r="23">
      <c r="A23" s="26" t="inlineStr">
        <is>
          <t>PORTFOLIO RETURNS</t>
        </is>
      </c>
    </row>
    <row r="24">
      <c r="A24" t="inlineStr">
        <is>
          <t>Gross Annual Rent (from C9)</t>
        </is>
      </c>
      <c r="B24" s="35">
        <f>C9</f>
        <v/>
      </c>
    </row>
    <row r="25">
      <c r="A25" t="inlineStr">
        <is>
          <t>Effective Rent (at occupancy)</t>
        </is>
      </c>
      <c r="B25" s="35">
        <f>$B$B24*$B19</f>
        <v/>
      </c>
    </row>
    <row r="26">
      <c r="A26" t="inlineStr">
        <is>
          <t>Operating Expenses</t>
        </is>
      </c>
      <c r="B26" s="35">
        <f>$B$B25*$B20</f>
        <v/>
      </c>
    </row>
    <row r="27">
      <c r="A27" t="inlineStr">
        <is>
          <t>NOI</t>
        </is>
      </c>
      <c r="B27" s="33">
        <f>$B$B25-$B$B26</f>
        <v/>
      </c>
    </row>
    <row r="28">
      <c r="A28" t="inlineStr">
        <is>
          <t>Exit Value at Cap Rate</t>
        </is>
      </c>
      <c r="B28" s="35">
        <f>$B$B27/$B18</f>
        <v/>
      </c>
    </row>
    <row r="29">
      <c r="A29" t="inlineStr">
        <is>
          <t>Cumulative NOI</t>
        </is>
      </c>
      <c r="B29" s="35">
        <f>$B$B27*$B21</f>
        <v/>
      </c>
    </row>
    <row r="30">
      <c r="A30" t="inlineStr">
        <is>
          <t>Total Return</t>
        </is>
      </c>
      <c r="B30" s="33">
        <f>$B$B28+$B$B29</f>
        <v/>
      </c>
    </row>
    <row r="31">
      <c r="A31" t="inlineStr">
        <is>
          <t>Equity Multiple (on $3.5M)</t>
        </is>
      </c>
      <c r="B31" s="36">
        <f>$B$B30/$B$12</f>
        <v/>
      </c>
    </row>
  </sheetData>
  <mergeCells count="5">
    <mergeCell ref="A11:C11"/>
    <mergeCell ref="A1:C1"/>
    <mergeCell ref="A23:C23"/>
    <mergeCell ref="A17:C1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9" t="inlineStr">
        <is>
          <t>FINANCING MATRIX — EDITABLE LENDER CRITERIA</t>
        </is>
      </c>
    </row>
    <row r="3">
      <c r="A3" s="26" t="inlineStr">
        <is>
          <t>UK LENDERS - YELLOW = EDITABLE</t>
        </is>
      </c>
    </row>
    <row r="4">
      <c r="A4" s="40" t="inlineStr">
        <is>
          <t>Property Type</t>
        </is>
      </c>
      <c r="B4" s="40" t="inlineStr">
        <is>
          <t>LTV %</t>
        </is>
      </c>
      <c r="C4" s="40" t="inlineStr">
        <is>
          <t>DSCR Min</t>
        </is>
      </c>
      <c r="D4" s="40" t="inlineStr">
        <is>
          <t>Rate %</t>
        </is>
      </c>
      <c r="E4" s="40" t="inlineStr">
        <is>
          <t>Term (Yrs)</t>
        </is>
      </c>
      <c r="F4" s="40" t="inlineStr">
        <is>
          <t>Occupancy %</t>
        </is>
      </c>
      <c r="G4" s="40" t="inlineStr"/>
      <c r="H4" s="40" t="inlineStr"/>
    </row>
    <row r="5">
      <c r="A5" s="41" t="inlineStr">
        <is>
          <t>Grade A Office</t>
        </is>
      </c>
      <c r="B5" s="29" t="n">
        <v>0.7</v>
      </c>
      <c r="C5" s="29" t="n">
        <v>1.25</v>
      </c>
      <c r="D5" s="42" t="n">
        <v>0.052</v>
      </c>
      <c r="E5" s="29" t="n">
        <v>15</v>
      </c>
      <c r="F5" s="29" t="n">
        <v>0.9</v>
      </c>
    </row>
    <row r="6">
      <c r="A6" s="41" t="inlineStr">
        <is>
          <t>Grade B Office</t>
        </is>
      </c>
      <c r="B6" s="29" t="n">
        <v>0.65</v>
      </c>
      <c r="C6" s="29" t="n">
        <v>1.3</v>
      </c>
      <c r="D6" s="42" t="n">
        <v>0.058</v>
      </c>
      <c r="E6" s="29" t="n">
        <v>10</v>
      </c>
      <c r="F6" s="29" t="n">
        <v>0.85</v>
      </c>
    </row>
    <row r="7">
      <c r="A7" s="41" t="inlineStr">
        <is>
          <t>Industrial Prime</t>
        </is>
      </c>
      <c r="B7" s="29" t="n">
        <v>0.7</v>
      </c>
      <c r="C7" s="29" t="n">
        <v>1.2</v>
      </c>
      <c r="D7" s="42" t="n">
        <v>0.048</v>
      </c>
      <c r="E7" s="29" t="n">
        <v>20</v>
      </c>
      <c r="F7" s="29" t="n">
        <v>0.92</v>
      </c>
    </row>
    <row r="8">
      <c r="A8" s="41" t="inlineStr">
        <is>
          <t>Retail</t>
        </is>
      </c>
      <c r="B8" s="29" t="n">
        <v>0.6</v>
      </c>
      <c r="C8" s="29" t="n">
        <v>1.35</v>
      </c>
      <c r="D8" s="42" t="n">
        <v>0.065</v>
      </c>
      <c r="E8" s="29" t="n">
        <v>10</v>
      </c>
      <c r="F8" s="29" t="n">
        <v>0.8</v>
      </c>
    </row>
    <row r="9">
      <c r="A9" s="41" t="inlineStr">
        <is>
          <t>Multifamily BTL</t>
        </is>
      </c>
      <c r="B9" s="29" t="n">
        <v>0.75</v>
      </c>
      <c r="C9" s="29" t="n">
        <v>1.25</v>
      </c>
      <c r="D9" s="42" t="n">
        <v>0.055</v>
      </c>
      <c r="E9" s="29" t="n">
        <v>20</v>
      </c>
      <c r="F9" s="29" t="n">
        <v>0.92</v>
      </c>
    </row>
    <row r="10">
      <c r="A10" s="41" t="inlineStr">
        <is>
          <t>Bridge Finance</t>
        </is>
      </c>
      <c r="B10" s="29" t="n">
        <v>0.6</v>
      </c>
      <c r="C10" s="29" t="n">
        <v>1.3</v>
      </c>
      <c r="D10" s="42" t="n">
        <v>0.07000000000000001</v>
      </c>
      <c r="E10" s="29" t="n">
        <v>1</v>
      </c>
      <c r="F10" s="29" t="n">
        <v>0</v>
      </c>
    </row>
    <row r="12">
      <c r="A12" s="26" t="inlineStr">
        <is>
          <t>USA MULTIFAMILY LENDERS</t>
        </is>
      </c>
    </row>
    <row r="13">
      <c r="A13" s="43" t="inlineStr">
        <is>
          <t>Loan Type</t>
        </is>
      </c>
      <c r="B13" s="43" t="inlineStr">
        <is>
          <t>LTV %</t>
        </is>
      </c>
      <c r="C13" s="43" t="inlineStr">
        <is>
          <t>DSCR Min</t>
        </is>
      </c>
      <c r="D13" s="43" t="inlineStr">
        <is>
          <t>Rate %</t>
        </is>
      </c>
      <c r="E13" s="43" t="inlineStr">
        <is>
          <t>Term (Yrs)</t>
        </is>
      </c>
      <c r="F13" s="43" t="inlineStr"/>
      <c r="G13" s="43" t="inlineStr"/>
      <c r="H13" s="43" t="inlineStr"/>
    </row>
    <row r="14">
      <c r="A14" s="41" t="inlineStr">
        <is>
          <t>Fannie Mae (Garden)</t>
        </is>
      </c>
      <c r="B14" s="29" t="n">
        <v>0.8</v>
      </c>
      <c r="C14" s="29" t="n">
        <v>1.2</v>
      </c>
      <c r="D14" s="29" t="n">
        <v>0.051</v>
      </c>
      <c r="E14" s="29" t="n">
        <v>10</v>
      </c>
    </row>
    <row r="15">
      <c r="A15" s="41" t="inlineStr">
        <is>
          <t>CMBS</t>
        </is>
      </c>
      <c r="B15" s="29" t="n">
        <v>0.75</v>
      </c>
      <c r="C15" s="29" t="n">
        <v>1.15</v>
      </c>
      <c r="D15" s="29" t="n">
        <v>0.059</v>
      </c>
      <c r="E15" s="29" t="n">
        <v>10</v>
      </c>
    </row>
    <row r="16">
      <c r="A16" s="41" t="inlineStr">
        <is>
          <t>Life Company</t>
        </is>
      </c>
      <c r="B16" s="29" t="n">
        <v>0.7</v>
      </c>
      <c r="C16" s="29" t="n">
        <v>1.25</v>
      </c>
      <c r="D16" s="29" t="n">
        <v>0.049</v>
      </c>
      <c r="E16" s="29" t="n">
        <v>15</v>
      </c>
    </row>
    <row r="17">
      <c r="A17" s="41" t="inlineStr">
        <is>
          <t>Bridge (Value-Add)</t>
        </is>
      </c>
      <c r="B17" s="29" t="n">
        <v>0.75</v>
      </c>
      <c r="C17" s="29" t="n">
        <v>1</v>
      </c>
      <c r="D17" s="29" t="n">
        <v>0.1</v>
      </c>
      <c r="E17" s="29" t="n">
        <v>2</v>
      </c>
    </row>
  </sheetData>
  <mergeCells count="3">
    <mergeCell ref="A12:H12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9" t="inlineStr">
        <is>
          <t>CONSTRUCTION COSTS - EDITABLE 2026 RATES</t>
        </is>
      </c>
    </row>
    <row r="3">
      <c r="A3" s="26" t="inlineStr">
        <is>
          <t>GROUND-UP (£ psf)</t>
        </is>
      </c>
    </row>
    <row r="4">
      <c r="A4" s="43" t="inlineStr">
        <is>
          <t>Property Type</t>
        </is>
      </c>
      <c r="B4" s="43" t="inlineStr">
        <is>
          <t>London</t>
        </is>
      </c>
      <c r="C4" s="43" t="inlineStr">
        <is>
          <t>South East</t>
        </is>
      </c>
      <c r="D4" s="43" t="inlineStr">
        <is>
          <t>Midlands</t>
        </is>
      </c>
      <c r="E4" s="43" t="inlineStr">
        <is>
          <t>North</t>
        </is>
      </c>
      <c r="F4" s="43" t="inlineStr">
        <is>
          <t>USA East</t>
        </is>
      </c>
      <c r="G4" s="43" t="inlineStr">
        <is>
          <t>USA Midwest</t>
        </is>
      </c>
      <c r="H4" s="43" t="inlineStr">
        <is>
          <t>USA West</t>
        </is>
      </c>
    </row>
    <row r="5">
      <c r="A5" s="41" t="inlineStr">
        <is>
          <t>Office Class A</t>
        </is>
      </c>
      <c r="B5" s="37" t="n">
        <v>350</v>
      </c>
      <c r="C5" s="37" t="n">
        <v>300</v>
      </c>
      <c r="D5" s="37" t="n">
        <v>280</v>
      </c>
      <c r="E5" s="37" t="n">
        <v>240</v>
      </c>
      <c r="F5" s="37" t="n">
        <v>400</v>
      </c>
      <c r="G5" s="37" t="n">
        <v>320</v>
      </c>
      <c r="H5" s="37" t="n">
        <v>500</v>
      </c>
    </row>
    <row r="6">
      <c r="A6" s="41" t="inlineStr">
        <is>
          <t>Office Class B</t>
        </is>
      </c>
      <c r="B6" s="37" t="n">
        <v>280</v>
      </c>
      <c r="C6" s="37" t="n">
        <v>240</v>
      </c>
      <c r="D6" s="37" t="n">
        <v>220</v>
      </c>
      <c r="E6" s="37" t="n">
        <v>180</v>
      </c>
      <c r="F6" s="37" t="n">
        <v>320</v>
      </c>
      <c r="G6" s="37" t="n">
        <v>260</v>
      </c>
      <c r="H6" s="37" t="n">
        <v>420</v>
      </c>
    </row>
    <row r="7">
      <c r="A7" s="41" t="inlineStr">
        <is>
          <t>Industrial</t>
        </is>
      </c>
      <c r="B7" s="37" t="n">
        <v>150</v>
      </c>
      <c r="C7" s="37" t="n">
        <v>130</v>
      </c>
      <c r="D7" s="37" t="n">
        <v>120</v>
      </c>
      <c r="E7" s="37" t="n">
        <v>100</v>
      </c>
      <c r="F7" s="37" t="n">
        <v>220</v>
      </c>
      <c r="G7" s="37" t="n">
        <v>180</v>
      </c>
      <c r="H7" s="37" t="n">
        <v>280</v>
      </c>
    </row>
    <row r="8">
      <c r="A8" s="41" t="inlineStr">
        <is>
          <t>Retail Prime</t>
        </is>
      </c>
      <c r="B8" s="37" t="n">
        <v>280</v>
      </c>
      <c r="C8" s="37" t="n">
        <v>250</v>
      </c>
      <c r="D8" s="37" t="n">
        <v>220</v>
      </c>
      <c r="E8" s="37" t="n">
        <v>180</v>
      </c>
      <c r="F8" s="37" t="n">
        <v>350</v>
      </c>
      <c r="G8" s="37" t="n">
        <v>280</v>
      </c>
      <c r="H8" s="37" t="n">
        <v>450</v>
      </c>
    </row>
    <row r="9">
      <c r="A9" s="41" t="inlineStr">
        <is>
          <t>Residential</t>
        </is>
      </c>
      <c r="B9" s="37" t="n">
        <v>220</v>
      </c>
      <c r="C9" s="37" t="n">
        <v>180</v>
      </c>
      <c r="D9" s="37" t="n">
        <v>150</v>
      </c>
      <c r="E9" s="37" t="n">
        <v>120</v>
      </c>
      <c r="F9" s="37" t="n">
        <v>300</v>
      </c>
      <c r="G9" s="37" t="n">
        <v>210</v>
      </c>
      <c r="H9" s="37" t="n">
        <v>400</v>
      </c>
    </row>
    <row r="10">
      <c r="A10" s="41" t="inlineStr">
        <is>
          <t>Multifamily</t>
        </is>
      </c>
      <c r="B10" s="37" t="n">
        <v>270</v>
      </c>
      <c r="C10" s="37" t="n">
        <v>230</v>
      </c>
      <c r="D10" s="37" t="n">
        <v>200</v>
      </c>
      <c r="E10" s="37" t="n">
        <v>170</v>
      </c>
      <c r="F10" s="37" t="n">
        <v>350</v>
      </c>
      <c r="G10" s="37" t="n">
        <v>270</v>
      </c>
      <c r="H10" s="37" t="n">
        <v>450</v>
      </c>
    </row>
    <row r="12">
      <c r="A12" s="26" t="inlineStr">
        <is>
          <t>REFURBISHMENT (£ psf)</t>
        </is>
      </c>
    </row>
    <row r="13">
      <c r="A13" s="43" t="inlineStr">
        <is>
          <t>Refurb Level</t>
        </is>
      </c>
      <c r="B13" s="43" t="inlineStr">
        <is>
          <t>Light</t>
        </is>
      </c>
      <c r="C13" s="43" t="inlineStr">
        <is>
          <t>Mid</t>
        </is>
      </c>
      <c r="D13" s="43" t="inlineStr">
        <is>
          <t>Full Gut</t>
        </is>
      </c>
      <c r="E13" s="43" t="inlineStr">
        <is>
          <t>UK Avg</t>
        </is>
      </c>
      <c r="F13" s="43" t="inlineStr">
        <is>
          <t>USA Light</t>
        </is>
      </c>
      <c r="G13" s="43" t="inlineStr">
        <is>
          <t>USA Mid</t>
        </is>
      </c>
      <c r="H13" s="43" t="inlineStr">
        <is>
          <t>USA Full</t>
        </is>
      </c>
    </row>
    <row r="14">
      <c r="A14" s="41" t="inlineStr">
        <is>
          <t>Office</t>
        </is>
      </c>
      <c r="B14" s="37" t="n">
        <v>40</v>
      </c>
      <c r="C14" s="37" t="n">
        <v>75</v>
      </c>
      <c r="D14" s="37" t="n">
        <v>130</v>
      </c>
      <c r="E14" s="37" t="n">
        <v>80</v>
      </c>
      <c r="F14" s="37" t="n">
        <v>50</v>
      </c>
      <c r="G14" s="37" t="n">
        <v>90</v>
      </c>
      <c r="H14" s="37" t="n">
        <v>150</v>
      </c>
    </row>
    <row r="15">
      <c r="A15" s="41" t="inlineStr">
        <is>
          <t>Industrial</t>
        </is>
      </c>
      <c r="B15" s="37" t="n">
        <v>25</v>
      </c>
      <c r="C15" s="37" t="n">
        <v>50</v>
      </c>
      <c r="D15" s="37" t="n">
        <v>90</v>
      </c>
      <c r="E15" s="37" t="n">
        <v>55</v>
      </c>
      <c r="F15" s="37" t="n">
        <v>35</v>
      </c>
      <c r="G15" s="37" t="n">
        <v>70</v>
      </c>
      <c r="H15" s="37" t="n">
        <v>120</v>
      </c>
    </row>
    <row r="16">
      <c r="A16" s="41" t="inlineStr">
        <is>
          <t>Retail</t>
        </is>
      </c>
      <c r="B16" s="37" t="n">
        <v>35</v>
      </c>
      <c r="C16" s="37" t="n">
        <v>65</v>
      </c>
      <c r="D16" s="37" t="n">
        <v>120</v>
      </c>
      <c r="E16" s="37" t="n">
        <v>75</v>
      </c>
      <c r="F16" s="37" t="n">
        <v>45</v>
      </c>
      <c r="G16" s="37" t="n">
        <v>85</v>
      </c>
      <c r="H16" s="37" t="n">
        <v>140</v>
      </c>
    </row>
    <row r="17">
      <c r="A17" s="41" t="inlineStr">
        <is>
          <t>Residential</t>
        </is>
      </c>
      <c r="B17" s="37" t="n">
        <v>60</v>
      </c>
      <c r="C17" s="37" t="n">
        <v>90</v>
      </c>
      <c r="D17" s="37" t="n">
        <v>130</v>
      </c>
      <c r="E17" s="37" t="n">
        <v>95</v>
      </c>
      <c r="F17" s="37" t="n">
        <v>15</v>
      </c>
      <c r="G17" s="37" t="n">
        <v>25</v>
      </c>
      <c r="H17" s="37" t="n">
        <v>65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9" t="inlineStr">
        <is>
          <t>COMPARABLE ANALYSIS - MARKET CAP RATES</t>
        </is>
      </c>
    </row>
    <row r="3">
      <c r="A3" s="43" t="inlineStr">
        <is>
          <t>Property Type / Market</t>
        </is>
      </c>
      <c r="B3" s="43" t="inlineStr">
        <is>
          <t>Prime Cap %</t>
        </is>
      </c>
      <c r="C3" s="43" t="inlineStr">
        <is>
          <t>Secondary Cap %</t>
        </is>
      </c>
      <c r="D3" s="43" t="inlineStr">
        <is>
          <t>Tertiary Cap %</t>
        </is>
      </c>
      <c r="E3" s="43" t="inlineStr">
        <is>
          <t>Price/SF</t>
        </is>
      </c>
      <c r="F3" s="43" t="inlineStr">
        <is>
          <t>Yield %</t>
        </is>
      </c>
      <c r="G3" s="43" t="inlineStr"/>
      <c r="H3" s="43" t="inlineStr"/>
    </row>
    <row r="4">
      <c r="A4" s="41" t="inlineStr">
        <is>
          <t>Grade A Office - London</t>
        </is>
      </c>
      <c r="B4" s="29" t="n">
        <v>0.035</v>
      </c>
      <c r="C4" s="29" t="n">
        <v>0.045</v>
      </c>
      <c r="D4" s="29" t="n">
        <v>0.055</v>
      </c>
      <c r="E4" s="37" t="n">
        <v>1200</v>
      </c>
      <c r="F4" s="29" t="n">
        <v>0.048</v>
      </c>
    </row>
    <row r="5">
      <c r="A5" s="41" t="inlineStr">
        <is>
          <t>Grade B Office - SE</t>
        </is>
      </c>
      <c r="B5" s="29" t="n">
        <v>0.045</v>
      </c>
      <c r="C5" s="29" t="n">
        <v>0.055</v>
      </c>
      <c r="D5" s="29" t="n">
        <v>0.065</v>
      </c>
      <c r="E5" s="37" t="n">
        <v>800</v>
      </c>
      <c r="F5" s="29" t="n">
        <v>0.058</v>
      </c>
    </row>
    <row r="6">
      <c r="A6" s="41" t="inlineStr">
        <is>
          <t>Industrial - Regional UK</t>
        </is>
      </c>
      <c r="B6" s="29" t="n">
        <v>0.038</v>
      </c>
      <c r="C6" s="29" t="n">
        <v>0.048</v>
      </c>
      <c r="D6" s="29" t="n">
        <v>0.058</v>
      </c>
      <c r="E6" s="37" t="n">
        <v>400</v>
      </c>
      <c r="F6" s="29" t="n">
        <v>0.052</v>
      </c>
    </row>
    <row r="7">
      <c r="A7" s="41" t="inlineStr">
        <is>
          <t>Retail - London WE</t>
        </is>
      </c>
      <c r="B7" s="29" t="n">
        <v>0.025</v>
      </c>
      <c r="C7" s="29" t="n">
        <v>0.035</v>
      </c>
      <c r="D7" s="29" t="n">
        <v>0.045</v>
      </c>
      <c r="E7" s="37" t="n">
        <v>2000</v>
      </c>
      <c r="F7" s="29" t="n">
        <v>0.038</v>
      </c>
    </row>
    <row r="8">
      <c r="A8" s="41" t="inlineStr">
        <is>
          <t>Multifamily - London</t>
        </is>
      </c>
      <c r="B8" s="29" t="n">
        <v>0.032</v>
      </c>
      <c r="C8" s="29" t="n">
        <v>0.042</v>
      </c>
      <c r="D8" s="29" t="n">
        <v>0.052</v>
      </c>
      <c r="E8" s="37" t="n">
        <v>600</v>
      </c>
      <c r="F8" s="29" t="n">
        <v>0.045</v>
      </c>
    </row>
    <row r="9">
      <c r="A9" s="41" t="inlineStr">
        <is>
          <t>Multifamily - USA</t>
        </is>
      </c>
      <c r="B9" s="29" t="n">
        <v>0.045</v>
      </c>
      <c r="C9" s="29" t="n">
        <v>0.055</v>
      </c>
      <c r="D9" s="29" t="n">
        <v>0.065</v>
      </c>
      <c r="E9" s="37" t="n">
        <v>200</v>
      </c>
      <c r="F9" s="29" t="n">
        <v>0.058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2026-04-07T11:43:56Z</dcterms:created>
  <dcterms:modified xmlns:dcterms="http://purl.org/dc/terms/" xmlns:xsi="http://www.w3.org/2001/XMLSchema-instance" xsi:type="dcterms:W3CDTF">2026-04-07T20:36:09Z</dcterms:modified>
</cp:coreProperties>
</file>